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FO Report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Daily Consumption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Egg Buys" sheetId="5" state="visible" r:id="rId5"/>
    <sheet xmlns:r="http://schemas.openxmlformats.org/officeDocument/2006/relationships" name="Quotas" sheetId="6" state="visible" r:id="rId6"/>
    <sheet xmlns:r="http://schemas.openxmlformats.org/officeDocument/2006/relationships" name="Predefined" sheetId="7" state="visible" r:id="rId7"/>
    <sheet xmlns:r="http://schemas.openxmlformats.org/officeDocument/2006/relationships" name="Egg Destroy" sheetId="8" state="visible" r:id="rId8"/>
    <sheet xmlns:r="http://schemas.openxmlformats.org/officeDocument/2006/relationships" name="Misc Cost" sheetId="9" state="visible" r:id="rId9"/>
    <sheet xmlns:r="http://schemas.openxmlformats.org/officeDocument/2006/relationships" name="Ses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1E3A5F"/>
      <sz val="8"/>
    </font>
    <font>
      <name val="Arial"/>
      <b val="1"/>
      <color rgb="00B45309"/>
      <sz val="8"/>
    </font>
    <font>
      <name val="Arial"/>
      <b val="1"/>
      <color rgb="00065F46"/>
      <sz val="8"/>
    </font>
    <font>
      <name val="Arial"/>
      <b val="1"/>
      <color rgb="001D4ED8"/>
      <sz val="8"/>
    </font>
    <font>
      <name val="Arial"/>
      <b val="1"/>
      <color rgb="00991B1B"/>
      <sz val="8"/>
    </font>
    <font>
      <name val="Arial"/>
      <b val="1"/>
      <color rgb="00111827"/>
      <sz val="12"/>
    </font>
    <font>
      <name val="Arial"/>
      <b val="1"/>
      <color rgb="00FFFFFF"/>
      <sz val="9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sz val="10"/>
    </font>
    <font>
      <name val="Arial"/>
      <i val="1"/>
      <color rgb="004B5563"/>
      <sz val="9"/>
    </font>
  </fonts>
  <fills count="1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F9F6F1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AFAFA"/>
      </patternFill>
    </fill>
    <fill>
      <patternFill patternType="solid">
        <fgColor rgb="00374151"/>
      </patternFill>
    </fill>
    <fill>
      <patternFill patternType="solid">
        <fgColor rgb="00FFFFFF"/>
      </patternFill>
    </fill>
    <fill>
      <patternFill patternType="solid">
        <fgColor rgb="00E5E7EB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4" fillId="1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C07"/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EGG TRACKER  —  FIFO COST REPORT</t>
        </is>
      </c>
    </row>
    <row r="2" ht="18" customHeight="1">
      <c r="A2" s="2" t="inlineStr">
        <is>
          <t>Auto-refreshes on spreadsheet open (onOpen trigger).  Manual sync: UI -&gt; FIFO Report -&gt; Sync to Excel Sheet</t>
        </is>
      </c>
    </row>
    <row r="4" ht="44" customHeight="1">
      <c r="A4" s="3" t="inlineStr">
        <is>
          <t>TOTAL
BOUGHT
(eggs)</t>
        </is>
      </c>
      <c r="B4" s="3" t="inlineStr">
        <is>
          <t>TOTAL
CONSUMED
(eggs)</t>
        </is>
      </c>
      <c r="C4" s="4" t="inlineStr">
        <is>
          <t>TOTAL
DESTROYED
(eggs)</t>
        </is>
      </c>
      <c r="D4" s="5" t="inlineStr">
        <is>
          <t>STOCK
REMAINING
(eggs)</t>
        </is>
      </c>
      <c r="E4" s="3" t="inlineStr">
        <is>
          <t>TOTAL EGG
COST (TK)
FIFO</t>
        </is>
      </c>
      <c r="F4" s="6" t="inlineStr">
        <is>
          <t>TOTAL
MISC (TK)</t>
        </is>
      </c>
      <c r="G4" s="3" t="inlineStr">
        <is>
          <t>TOTAL
COST (TK)</t>
        </is>
      </c>
      <c r="H4" s="5" t="inlineStr">
        <is>
          <t>TOTAL
COLLECTED
(TK)</t>
        </is>
      </c>
      <c r="I4" s="7" t="inlineStr">
        <is>
          <t>TOTAL
OUTSTANDING
(TK)</t>
        </is>
      </c>
    </row>
    <row r="5" ht="30" customHeight="1">
      <c r="A5" s="8">
        <f>SUMIF('Egg Buys'!A:A,"*",'Egg Buys'!C:C)</f>
        <v/>
      </c>
      <c r="B5" s="8">
        <f>SUMIF('Daily Consumption'!A:A,"*",'Daily Consumption'!D:D)</f>
        <v/>
      </c>
      <c r="C5" s="8">
        <f>SUMIF('Egg Destroy'!A:A,"*",'Egg Destroy'!C:C)</f>
        <v/>
      </c>
      <c r="D5" s="8">
        <f>A5-B5-C5</f>
        <v/>
      </c>
      <c r="E5" s="8" t="inlineStr">
        <is>
          <t>[FIFO Egg Cost - set by script]</t>
        </is>
      </c>
      <c r="F5" s="8">
        <f>SUMIF('Misc Cost'!A:A,"*",'Misc Cost'!C:C)</f>
        <v/>
      </c>
      <c r="G5" s="8">
        <f>E5+F5</f>
        <v/>
      </c>
      <c r="H5" s="8">
        <f>SUMIF(Payments!A:A,"*",Payments!D:D)</f>
        <v/>
      </c>
      <c r="I5" s="8">
        <f>G5-H5</f>
        <v/>
      </c>
    </row>
    <row r="7" ht="20" customHeight="1">
      <c r="A7" s="9" t="inlineStr">
        <is>
          <t xml:space="preserve">  PER-USER COST BREAKDOWN  (Values written by Apps Script — open spreadsheet or click Sync)</t>
        </is>
      </c>
    </row>
    <row r="8" ht="30" customHeight="1">
      <c r="A8" s="10" t="inlineStr">
        <is>
          <t>Name</t>
        </is>
      </c>
      <c r="B8" s="10" t="inlineStr">
        <is>
          <t>Consumed
Qty</t>
        </is>
      </c>
      <c r="C8" s="10" t="inlineStr">
        <is>
          <t>Pct
%</t>
        </is>
      </c>
      <c r="D8" s="10" t="inlineStr">
        <is>
          <t>Egg Cost
(TK)</t>
        </is>
      </c>
      <c r="E8" s="10" t="inlineStr">
        <is>
          <t>Destroy
Share (TK)</t>
        </is>
      </c>
      <c r="F8" s="10" t="inlineStr">
        <is>
          <t>Misc
Share (TK)</t>
        </is>
      </c>
      <c r="G8" s="10" t="inlineStr">
        <is>
          <t>Total
Cost (TK)</t>
        </is>
      </c>
      <c r="H8" s="10" t="inlineStr">
        <is>
          <t>Total
Paid (TK)</t>
        </is>
      </c>
      <c r="I8" s="10" t="inlineStr">
        <is>
          <t>Need to
Pay (TK)</t>
        </is>
      </c>
    </row>
    <row r="9">
      <c r="A9" s="11" t="inlineStr">
        <is>
          <t>Rahim</t>
        </is>
      </c>
      <c r="B9" s="12" t="n">
        <v>0</v>
      </c>
      <c r="C9" s="12" t="inlineStr">
        <is>
          <t>0%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3" t="n">
        <v>0</v>
      </c>
    </row>
    <row r="10">
      <c r="A10" s="14" t="inlineStr">
        <is>
          <t>Karim</t>
        </is>
      </c>
      <c r="B10" s="15" t="n">
        <v>0</v>
      </c>
      <c r="C10" s="15" t="inlineStr">
        <is>
          <t>0%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6" t="n">
        <v>0</v>
      </c>
    </row>
    <row r="11">
      <c r="A11" s="17" t="inlineStr">
        <is>
          <t>TOTAL</t>
        </is>
      </c>
      <c r="B11" s="18" t="n"/>
      <c r="C11" s="18" t="n"/>
      <c r="D11" s="17">
        <f>SUM(D9:D10)</f>
        <v/>
      </c>
      <c r="E11" s="17">
        <f>SUM(E9:E10)</f>
        <v/>
      </c>
      <c r="F11" s="17">
        <f>SUM(F9:F10)</f>
        <v/>
      </c>
      <c r="G11" s="17">
        <f>SUM(G9:G10)</f>
        <v/>
      </c>
      <c r="H11" s="17">
        <f>SUM(H9:H10)</f>
        <v/>
      </c>
      <c r="I11" s="17">
        <f>SUM(I9:I10)</f>
        <v/>
      </c>
    </row>
    <row r="13" ht="22" customHeight="1">
      <c r="A13" s="19" t="inlineStr">
        <is>
          <t>HOW TO READ:  'Need to Pay' = (Target + Total Cost) - Total Paid - Initial Balance.  Positive = user owes.  Negative = user has credit.  |  FIFO Report is automatically written by Apps Script each time this spreadsheet is opened.  You can also manually sync: open the EggTrack UI  -&gt;  FIFO Report page  -&gt;  'Sync to Excel Sheet' button.</t>
        </is>
      </c>
    </row>
    <row r="14" ht="22" customHeight="1"/>
  </sheetData>
  <mergeCells count="4">
    <mergeCell ref="A1:I1"/>
    <mergeCell ref="A7:I7"/>
    <mergeCell ref="A13:I1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14" customWidth="1" min="5" max="5"/>
    <col width="16" customWidth="1" min="6" max="6"/>
    <col width="18" customWidth="1" min="7" max="7"/>
  </cols>
  <sheetData>
    <row r="1" ht="22" customHeight="1">
      <c r="A1" s="20" t="inlineStr">
        <is>
          <t>UserID</t>
        </is>
      </c>
      <c r="B1" s="20" t="inlineStr">
        <is>
          <t>Username</t>
        </is>
      </c>
      <c r="C1" s="20" t="inlineStr">
        <is>
          <t>Password</t>
        </is>
      </c>
      <c r="D1" s="20" t="inlineStr">
        <is>
          <t>Name</t>
        </is>
      </c>
      <c r="E1" s="20" t="inlineStr">
        <is>
          <t>Role</t>
        </is>
      </c>
      <c r="F1" s="20" t="inlineStr">
        <is>
          <t>Target (TK)</t>
        </is>
      </c>
      <c r="G1" s="20" t="inlineStr">
        <is>
          <t>InitBalance (TK)</t>
        </is>
      </c>
    </row>
    <row r="2">
      <c r="A2" t="inlineStr">
        <is>
          <t>U0</t>
        </is>
      </c>
      <c r="B2" t="inlineStr">
        <is>
          <t>superadmin</t>
        </is>
      </c>
      <c r="C2" t="inlineStr">
        <is>
          <t>admin123</t>
        </is>
      </c>
      <c r="D2" t="inlineStr">
        <is>
          <t>Super Admin</t>
        </is>
      </c>
      <c r="E2" t="inlineStr">
        <is>
          <t>superadmin</t>
        </is>
      </c>
      <c r="F2" t="n">
        <v>0</v>
      </c>
      <c r="G2" t="n">
        <v>0</v>
      </c>
    </row>
    <row r="3">
      <c r="A3" t="inlineStr">
        <is>
          <t>U1</t>
        </is>
      </c>
      <c r="B3" t="inlineStr">
        <is>
          <t>admin</t>
        </is>
      </c>
      <c r="C3" t="inlineStr">
        <is>
          <t>admin123</t>
        </is>
      </c>
      <c r="D3" t="inlineStr">
        <is>
          <t>Admin User</t>
        </is>
      </c>
      <c r="E3" t="inlineStr">
        <is>
          <t>admin</t>
        </is>
      </c>
      <c r="F3" t="n">
        <v>1000</v>
      </c>
      <c r="G3" t="n">
        <v>0</v>
      </c>
    </row>
    <row r="4">
      <c r="A4" t="inlineStr">
        <is>
          <t>U2</t>
        </is>
      </c>
      <c r="B4" t="inlineStr">
        <is>
          <t>rahim</t>
        </is>
      </c>
      <c r="C4" t="inlineStr">
        <is>
          <t>user123</t>
        </is>
      </c>
      <c r="D4" t="inlineStr">
        <is>
          <t>Rahim</t>
        </is>
      </c>
      <c r="E4" t="inlineStr">
        <is>
          <t>user</t>
        </is>
      </c>
      <c r="F4" t="n">
        <v>800</v>
      </c>
      <c r="G4" t="n">
        <v>0</v>
      </c>
    </row>
    <row r="5">
      <c r="A5" t="inlineStr">
        <is>
          <t>U3</t>
        </is>
      </c>
      <c r="B5" t="inlineStr">
        <is>
          <t>karim</t>
        </is>
      </c>
      <c r="C5" t="inlineStr">
        <is>
          <t>user123</t>
        </is>
      </c>
      <c r="D5" t="inlineStr">
        <is>
          <t>Karim</t>
        </is>
      </c>
      <c r="E5" t="inlineStr">
        <is>
          <t>user</t>
        </is>
      </c>
      <c r="F5" t="n">
        <v>800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 ht="22" customHeight="1">
      <c r="A1" s="20" t="inlineStr">
        <is>
          <t>ID</t>
        </is>
      </c>
      <c r="B1" s="20" t="inlineStr">
        <is>
          <t>Date</t>
        </is>
      </c>
      <c r="C1" s="20" t="inlineStr">
        <is>
          <t>UserID</t>
        </is>
      </c>
      <c r="D1" s="20" t="inlineStr">
        <is>
          <t>Qty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20" t="inlineStr">
        <is>
          <t>ID</t>
        </is>
      </c>
      <c r="B1" s="20" t="inlineStr">
        <is>
          <t>Date</t>
        </is>
      </c>
      <c r="C1" s="20" t="inlineStr">
        <is>
          <t>UserID</t>
        </is>
      </c>
      <c r="D1" s="20" t="inlineStr">
        <is>
          <t>Amount (TK)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20" customWidth="1" min="5" max="5"/>
  </cols>
  <sheetData>
    <row r="1" ht="22" customHeight="1">
      <c r="A1" s="20" t="inlineStr">
        <is>
          <t>ID</t>
        </is>
      </c>
      <c r="B1" s="20" t="inlineStr">
        <is>
          <t>Date</t>
        </is>
      </c>
      <c r="C1" s="20" t="inlineStr">
        <is>
          <t>Qty</t>
        </is>
      </c>
      <c r="D1" s="20" t="inlineStr">
        <is>
          <t>Total (TK)</t>
        </is>
      </c>
      <c r="E1" s="20" t="inlineStr">
        <is>
          <t>Unit Cost (TK/egg)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22" customHeight="1">
      <c r="A1" s="20" t="inlineStr">
        <is>
          <t>UserID</t>
        </is>
      </c>
      <c r="B1" s="20" t="inlineStr">
        <is>
          <t>Quota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 ht="22" customHeight="1">
      <c r="A1" s="20" t="inlineStr">
        <is>
          <t>UserID</t>
        </is>
      </c>
      <c r="B1" s="20" t="inlineStr">
        <is>
          <t>Qty (Pre-defined Daily)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30" customWidth="1" min="4" max="4"/>
  </cols>
  <sheetData>
    <row r="1" ht="22" customHeight="1">
      <c r="A1" s="20" t="inlineStr">
        <is>
          <t>ID</t>
        </is>
      </c>
      <c r="B1" s="20" t="inlineStr">
        <is>
          <t>Date</t>
        </is>
      </c>
      <c r="C1" s="20" t="inlineStr">
        <is>
          <t>Qty</t>
        </is>
      </c>
      <c r="D1" s="20" t="inlineStr">
        <is>
          <t>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</cols>
  <sheetData>
    <row r="1" ht="22" customHeight="1">
      <c r="A1" s="20" t="inlineStr">
        <is>
          <t>ID</t>
        </is>
      </c>
      <c r="B1" s="20" t="inlineStr">
        <is>
          <t>Date</t>
        </is>
      </c>
      <c r="C1" s="20" t="inlineStr">
        <is>
          <t>Amount (TK)</t>
        </is>
      </c>
      <c r="D1" s="20" t="inlineStr">
        <is>
          <t>Note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4" customWidth="1" min="3" max="3"/>
  </cols>
  <sheetData>
    <row r="1" ht="22" customHeight="1">
      <c r="A1" s="20" t="inlineStr">
        <is>
          <t>Token</t>
        </is>
      </c>
      <c r="B1" s="20" t="inlineStr">
        <is>
          <t>UserID</t>
        </is>
      </c>
      <c r="C1" s="20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2026-04-15T12:09:24Z</dcterms:created>
  <dcterms:modified xmlns:dcterms="http://purl.org/dc/terms/" xmlns:xsi="http://www.w3.org/2001/XMLSchema-instance" xsi:type="dcterms:W3CDTF">2026-04-15T12:09:24Z</dcterms:modified>
</cp:coreProperties>
</file>